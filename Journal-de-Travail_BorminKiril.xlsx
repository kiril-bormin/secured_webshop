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secured_webshop\"/>
    </mc:Choice>
  </mc:AlternateContent>
  <xr:revisionPtr revIDLastSave="0" documentId="13_ncr:1_{88849D4B-A891-44DB-B867-640189E79275}" xr6:coauthVersionLast="47" xr6:coauthVersionMax="47" xr10:uidLastSave="{00000000-0000-0000-0000-000000000000}"/>
  <bookViews>
    <workbookView xWindow="5625" yWindow="26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<sst xmlns="http://schemas.openxmlformats.org/spreadsheetml/2006/main" count="55" uniqueCount="41">
  <si>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</si>
  <si>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</si>
  <si>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</si>
  <si>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</si>
  <si>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</si>
  <si>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</si>
  <si>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</si>
  <si>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</si>
  <si>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</si>
  <si>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</si>
  <si>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</si>
  <si>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</si>
  <si>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</si>
  <si>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</si>
  <si>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</si>
  <si>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</si>
  <si>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</si>
  <si>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</si>
  <si>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</si>
  <si>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</si>
  <si>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</si>
  <si>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</si>
  <si>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</si>
  <si>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</si>
  <si>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</si>
  <si>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</si>
  <si>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</si>
  <si>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</si>
  <si>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</si>
  <si>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</si>
  <si>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 xml:space="preserve">P_183 : Sécurité des applications </t>
  </si>
  <si>
    <t xml:space="preserve">de 20.03.2026 à 29.05.2026 </t>
  </si>
  <si>
    <t xml:space="preserve">Créer la page de login </t>
  </si>
  <si>
    <t>J'ai du me renseigner sur le fonctionnement des fetch en hmtl</t>
  </si>
  <si>
    <t>Fixer l'affiche sur la page login</t>
  </si>
  <si>
    <t xml:space="preserve">Créer la page d'inscription </t>
  </si>
  <si>
    <t>Ajout de hachage de mpd + sel</t>
  </si>
  <si>
    <t>Ajout de poivre</t>
  </si>
  <si>
    <t>Ajout de token jwt WIP</t>
  </si>
  <si>
    <t>Finission d'ajout token jwt</t>
  </si>
  <si>
    <t>Réaliser la protection de la page admin et ajout de rôles user et admin dans la bdd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</si>
</sst>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265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5" sqref="F1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4 heures 25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205</v>
      </c>
      <c r="E4" s="24">
        <f>SUM(C4:D4)</f>
        <v>265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12</v>
      </c>
      <c r="B7" s="26">
        <v>46101</v>
      </c>
      <c r="C7" s="27">
        <v>1</v>
      </c>
      <c r="D7" s="28"/>
      <c r="E7" s="29" t="s">
        <v>15</v>
      </c>
      <c r="F7" s="23" t="s">
        <v>32</v>
      </c>
      <c r="G7" s="38" t="s">
        <v>33</v>
      </c>
    </row>
    <row r="8" spans="1:15" x14ac:dyDescent="0.25">
      <c r="A8" s="62">
        <f>IF(ISBLANK(B8),"",_xlfn.ISOWEEKNUM('Journal de travail'!$B8))</f>
        <v>13</v>
      </c>
      <c r="B8" s="30">
        <v>46108</v>
      </c>
      <c r="C8" s="31"/>
      <c r="D8" s="32">
        <v>20</v>
      </c>
      <c r="E8" s="33" t="s">
        <v>15</v>
      </c>
      <c r="F8" s="23" t="s">
        <v>34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13</v>
      </c>
      <c r="B9" s="34">
        <v>46108</v>
      </c>
      <c r="C9" s="35"/>
      <c r="D9" s="36">
        <v>40</v>
      </c>
      <c r="E9" s="37" t="s">
        <v>15</v>
      </c>
      <c r="F9" s="23" t="s">
        <v>35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13</v>
      </c>
      <c r="B10" s="30">
        <v>46108</v>
      </c>
      <c r="C10" s="31"/>
      <c r="D10" s="32">
        <v>40</v>
      </c>
      <c r="E10" s="33" t="s">
        <v>15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13</v>
      </c>
      <c r="B11" s="34">
        <v>46108</v>
      </c>
      <c r="C11" s="35"/>
      <c r="D11" s="36">
        <v>20</v>
      </c>
      <c r="E11" s="37" t="s">
        <v>15</v>
      </c>
      <c r="F11" s="23" t="s">
        <v>37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13</v>
      </c>
      <c r="B12" s="30">
        <v>46108</v>
      </c>
      <c r="C12" s="31"/>
      <c r="D12" s="32">
        <v>15</v>
      </c>
      <c r="E12" s="33" t="s">
        <v>15</v>
      </c>
      <c r="F12" s="23" t="s">
        <v>38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17</v>
      </c>
      <c r="B13" s="34">
        <v>46136</v>
      </c>
      <c r="C13" s="35"/>
      <c r="D13" s="36">
        <v>30</v>
      </c>
      <c r="E13" s="37" t="s">
        <v>15</v>
      </c>
      <c r="F13" s="23" t="s">
        <v>39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17</v>
      </c>
      <c r="B14" s="30">
        <v>46136</v>
      </c>
      <c r="C14" s="31"/>
      <c r="D14" s="32">
        <v>40</v>
      </c>
      <c r="E14" s="33" t="s">
        <v>15</v>
      </c>
      <c r="F14" s="23" t="s">
        <v>40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205</v>
      </c>
      <c r="C7">
        <f t="shared" si="0"/>
        <v>265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 h 25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205</v>
      </c>
      <c r="C11">
        <f>SUM(A11:B11)</f>
        <v>265</v>
      </c>
      <c r="E11" s="81" t="s">
        <v>29</v>
      </c>
      <c r="F11" s="71" t="str">
        <f t="shared" si="1"/>
        <v>4 h 25 min</v>
      </c>
      <c r="G11" s="82">
        <f>C11/C12</f>
        <v>4.9074074074074076E-2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2026-04-24T09:23:31Z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