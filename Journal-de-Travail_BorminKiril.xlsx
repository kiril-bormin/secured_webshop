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x20umf\Documents\GitHub\secured_webshop\"/>
    </mc:Choice>
  </mc:AlternateContent>
  <xr:revisionPtr revIDLastSave="0" documentId="13_ncr:1_{A9A303B0-29BD-4CBE-88CF-394C93E6E30E}" xr6:coauthVersionLast="47" xr6:coauthVersionMax="47" xr10:uidLastSave="{00000000-0000-0000-0000-000000000000}"/>
  <bookViews>
    <workbookView xWindow="5625" yWindow="2670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<sst xmlns="http://schemas.openxmlformats.org/spreadsheetml/2006/main" count="47" uniqueCount="37">
  <si>
    <t>Journal de travail</t>
  </si>
  <si>
    <t>Auteur:</t>
  </si>
  <si>
    <t>Bormin Kiril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</si>
  <si>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</si>
  <si>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</si>
  <si>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</si>
  <si>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</si>
  <si>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</si>
  <si>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</si>
  <si>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</si>
  <si>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</si>
  <si>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</si>
  <si>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</si>
  <si>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</si>
  <si>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</si>
  <si>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</si>
  <si>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</si>
  <si>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</si>
  <si>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</si>
  <si>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</si>
  <si>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</si>
  <si>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</si>
  <si>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</si>
  <si>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</si>
  <si>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</si>
  <si>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</si>
  <si>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</si>
  <si>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</si>
  <si>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</si>
  <si>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</si>
  <si>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 xml:space="preserve">P_183 : Sécurité des applications </t>
  </si>
  <si>
    <t xml:space="preserve">de 20.03.2026 à 29.05.2026 </t>
  </si>
  <si>
    <t xml:space="preserve">Créer la page de login </t>
  </si>
  <si>
    <t>J'ai du me renseigner sur le fonctionnement des fetch en hmtl</t>
  </si>
  <si>
    <t>Fixer l'affiche sur la page login</t>
  </si>
  <si>
    <t xml:space="preserve">Créer la page d'inscription </t>
  </si>
  <si>
    <t>Ajout de hachage de mpd + sel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</si>
</sst>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160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B11" sqref="B11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30</v>
      </c>
    </row>
    <row r="3" spans="1:15" ht="23.25" x14ac:dyDescent="0.35">
      <c r="A3" s="86" t="s">
        <v>4</v>
      </c>
      <c r="B3" s="86"/>
      <c r="C3" s="67" t="str">
        <f>QUOTIENT(E4,60)&amp;" heures "&amp;MOD(E4,60)&amp;" minutes"</f>
        <v>2 heures 40 minutes</v>
      </c>
      <c r="D3" s="17"/>
      <c r="E3" s="3"/>
      <c r="F3" s="4" t="s">
        <v>5</v>
      </c>
      <c r="G3" s="65" t="s">
        <v>31</v>
      </c>
    </row>
    <row r="4" spans="1:15" ht="23.25" hidden="1" x14ac:dyDescent="0.35">
      <c r="B4" s="5"/>
      <c r="C4" s="17">
        <f>SUBTOTAL(9,$C$7:$C$531)*60</f>
        <v>60</v>
      </c>
      <c r="D4" s="17">
        <f>SUBTOTAL(9,$D$7:$D$531)</f>
        <v>100</v>
      </c>
      <c r="E4" s="24">
        <f>SUM(C4:D4)</f>
        <v>160</v>
      </c>
      <c r="F4" s="4"/>
      <c r="G4" s="6"/>
    </row>
    <row r="5" spans="1:15" x14ac:dyDescent="0.25">
      <c r="C5" s="85" t="s">
        <v>6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12</v>
      </c>
      <c r="B7" s="26">
        <v>46101</v>
      </c>
      <c r="C7" s="27">
        <v>1</v>
      </c>
      <c r="D7" s="28"/>
      <c r="E7" s="29" t="s">
        <v>15</v>
      </c>
      <c r="F7" s="23" t="s">
        <v>32</v>
      </c>
      <c r="G7" s="38" t="s">
        <v>33</v>
      </c>
    </row>
    <row r="8" spans="1:15" x14ac:dyDescent="0.25">
      <c r="A8" s="62">
        <f>IF(ISBLANK(B8),"",_xlfn.ISOWEEKNUM('Journal de travail'!$B8))</f>
        <v>13</v>
      </c>
      <c r="B8" s="30">
        <v>46108</v>
      </c>
      <c r="C8" s="31"/>
      <c r="D8" s="32">
        <v>20</v>
      </c>
      <c r="E8" s="33" t="s">
        <v>15</v>
      </c>
      <c r="F8" s="23" t="s">
        <v>34</v>
      </c>
      <c r="G8" s="39"/>
      <c r="M8" t="s">
        <v>14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13</v>
      </c>
      <c r="B9" s="34">
        <v>46108</v>
      </c>
      <c r="C9" s="35"/>
      <c r="D9" s="36">
        <v>40</v>
      </c>
      <c r="E9" s="37" t="s">
        <v>15</v>
      </c>
      <c r="F9" s="23" t="s">
        <v>35</v>
      </c>
      <c r="G9" s="40"/>
      <c r="M9" t="s">
        <v>15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13</v>
      </c>
      <c r="B10" s="30">
        <v>46108</v>
      </c>
      <c r="C10" s="31"/>
      <c r="D10" s="32">
        <v>40</v>
      </c>
      <c r="E10" s="33" t="s">
        <v>15</v>
      </c>
      <c r="F10" s="23" t="s">
        <v>36</v>
      </c>
      <c r="G10" s="39"/>
      <c r="M10" t="s">
        <v>16</v>
      </c>
      <c r="N10">
        <v>3</v>
      </c>
      <c r="O10">
        <v>10</v>
      </c>
    </row>
    <row r="11" spans="1:15" x14ac:dyDescent="0.25">
      <c r="A11" s="63" t="str">
        <f>IF(ISBLANK(B11),"",_xlfn.ISOWEEKNUM('Journal de travail'!$B11))</f>
        <v/>
      </c>
      <c r="B11" s="34"/>
      <c r="C11" s="35"/>
      <c r="D11" s="36"/>
      <c r="E11" s="37"/>
      <c r="F11" s="23"/>
      <c r="G11" s="40"/>
      <c r="M11" t="s">
        <v>17</v>
      </c>
      <c r="N11">
        <v>4</v>
      </c>
      <c r="O11">
        <v>15</v>
      </c>
    </row>
    <row r="12" spans="1:15" x14ac:dyDescent="0.25">
      <c r="A12" s="62" t="str">
        <f>IF(ISBLANK(B12),"",_xlfn.ISOWEEKNUM('Journal de travail'!$B12))</f>
        <v/>
      </c>
      <c r="B12" s="30"/>
      <c r="C12" s="31"/>
      <c r="D12" s="32"/>
      <c r="E12" s="33"/>
      <c r="F12" s="23"/>
      <c r="G12" s="39"/>
      <c r="M12" t="s">
        <v>18</v>
      </c>
      <c r="N12">
        <v>5</v>
      </c>
      <c r="O12">
        <v>20</v>
      </c>
    </row>
    <row r="13" spans="1:15" x14ac:dyDescent="0.25">
      <c r="A13" s="63" t="str">
        <f>IF(ISBLANK(B13),"",_xlfn.ISOWEEKNUM('Journal de travail'!$B13))</f>
        <v/>
      </c>
      <c r="B13" s="34"/>
      <c r="C13" s="35"/>
      <c r="D13" s="36"/>
      <c r="E13" s="37"/>
      <c r="F13" s="23"/>
      <c r="G13" s="40"/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/>
      <c r="E14" s="33"/>
      <c r="F14" s="23"/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90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60</v>
      </c>
      <c r="B7">
        <f>SUMIF('Journal de travail'!$E$7:$E$532,Plannification!E7,'Journal de travail'!$D$7:$D$532)</f>
        <v>100</v>
      </c>
      <c r="C7">
        <f t="shared" si="0"/>
        <v>160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2 h 40 min</v>
      </c>
      <c r="G7" s="75">
        <f t="shared" ref="G7:G9" si="2">SUM(A7:B7)/$C$11</f>
        <v>1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7" t="str">
        <f>'Journal de travail'!M11</f>
        <v>Documentation</v>
      </c>
      <c r="F9" s="74" t="str">
        <f t="shared" si="1"/>
        <v>0 h 00 min</v>
      </c>
      <c r="G9" s="75">
        <f t="shared" si="2"/>
        <v>0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60</v>
      </c>
      <c r="B11">
        <f>SUM(B6:B10)</f>
        <v>100</v>
      </c>
      <c r="C11">
        <f>SUM(A11:B11)</f>
        <v>160</v>
      </c>
      <c r="E11" s="81" t="s">
        <v>29</v>
      </c>
      <c r="F11" s="71" t="str">
        <f t="shared" si="1"/>
        <v>2 h 40 min</v>
      </c>
      <c r="G11" s="82">
        <f>C11/C12</f>
        <v>2.9629629629629631E-2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www.w3.org/XML/1998/namespace"/>
    <ds:schemaRef ds:uri="http://purl.org/dc/terms/"/>
    <ds:schemaRef ds:uri="http://purl.org/dc/dcmitype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424D28F-D6A9-45ED-AED5-A0D744400E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Kiril Bormin</cp:lastModifiedBy>
  <cp:revision/>
  <dcterms:created xsi:type="dcterms:W3CDTF">2023-11-21T20:00:34Z</dcterms:created>
  <dcterms:modified xsi:type="dcterms:W3CDTF">2026-03-27T10:29:22Z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