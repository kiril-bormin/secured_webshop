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wnloads\"/>
    </mc:Choice>
  </mc:AlternateContent>
  <xr:revisionPtr revIDLastSave="0" documentId="13_ncr:1_{BFCB1FA0-D805-4532-A983-DAC096BE3EEE}" xr6:coauthVersionLast="47" xr6:coauthVersionMax="47" xr10:uidLastSave="{00000000-0000-0000-0000-000000000000}"/>
  <bookViews>
    <workbookView xWindow="5280" yWindow="2325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<sst xmlns="http://schemas.openxmlformats.org/spreadsheetml/2006/main" count="45" uniqueCount="36">
  <si>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</si>
  <si>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</si>
  <si>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</si>
  <si>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</si>
  <si>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</si>
  <si>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</si>
  <si>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</si>
  <si>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</si>
  <si>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</si>
  <si>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</si>
  <si>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</si>
  <si>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</si>
  <si>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</si>
  <si>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</si>
  <si>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</si>
  <si>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</si>
  <si>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</si>
  <si>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</si>
  <si>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</si>
  <si>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</si>
  <si>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</si>
  <si>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</si>
  <si>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</si>
  <si>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</si>
  <si>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</si>
  <si>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</si>
  <si>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</si>
  <si>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</si>
  <si>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</si>
  <si>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</si>
  <si>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 xml:space="preserve">P_183 : Sécurité des applications </t>
  </si>
  <si>
    <t xml:space="preserve">de 20.03.2026 à 29.05.2026 </t>
  </si>
  <si>
    <t xml:space="preserve">Créer la page de login </t>
  </si>
  <si>
    <t>J'ai du me renseigner sur le fonctionnement des fetch en hmtl</t>
  </si>
  <si>
    <t>Fixer l'affiche sur la page login</t>
  </si>
  <si>
    <t xml:space="preserve">Créer la page d'inscription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</si>
</sst>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120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2" sqref="F12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2 heures 0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60</v>
      </c>
      <c r="E4" s="24">
        <f>SUM(C4:D4)</f>
        <v>120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12</v>
      </c>
      <c r="B7" s="26">
        <v>46101</v>
      </c>
      <c r="C7" s="27">
        <v>1</v>
      </c>
      <c r="D7" s="28"/>
      <c r="E7" s="29" t="s">
        <v>15</v>
      </c>
      <c r="F7" s="23" t="s">
        <v>32</v>
      </c>
      <c r="G7" s="38" t="s">
        <v>33</v>
      </c>
    </row>
    <row r="8" spans="1:15" x14ac:dyDescent="0.25">
      <c r="A8" s="62">
        <f>IF(ISBLANK(B8),"",_xlfn.ISOWEEKNUM('Journal de travail'!$B8))</f>
        <v>13</v>
      </c>
      <c r="B8" s="30">
        <v>46108</v>
      </c>
      <c r="C8" s="31"/>
      <c r="D8" s="32">
        <v>20</v>
      </c>
      <c r="E8" s="33" t="s">
        <v>15</v>
      </c>
      <c r="F8" s="23" t="s">
        <v>34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13</v>
      </c>
      <c r="B9" s="34">
        <v>46108</v>
      </c>
      <c r="C9" s="35"/>
      <c r="D9" s="36">
        <v>40</v>
      </c>
      <c r="E9" s="37" t="s">
        <v>15</v>
      </c>
      <c r="F9" s="23" t="s">
        <v>35</v>
      </c>
      <c r="G9" s="40"/>
      <c r="M9" t="s">
        <v>15</v>
      </c>
      <c r="N9">
        <v>2</v>
      </c>
      <c r="O9">
        <v>5</v>
      </c>
    </row>
    <row r="10" spans="1:15" x14ac:dyDescent="0.25">
      <c r="A10" s="62" t="str">
        <f>IF(ISBLANK(B10),"",_xlfn.ISOWEEKNUM('Journal de travail'!$B10))</f>
        <v/>
      </c>
      <c r="B10" s="30"/>
      <c r="C10" s="31"/>
      <c r="D10" s="32"/>
      <c r="E10" s="33"/>
      <c r="F10" s="23"/>
      <c r="G10" s="39"/>
      <c r="M10" t="s">
        <v>16</v>
      </c>
      <c r="N10">
        <v>3</v>
      </c>
      <c r="O10">
        <v>10</v>
      </c>
    </row>
    <row r="11" spans="1:15" x14ac:dyDescent="0.25">
      <c r="A11" s="63" t="str">
        <f>IF(ISBLANK(B11),"",_xlfn.ISOWEEKNUM('Journal de travail'!$B11))</f>
        <v/>
      </c>
      <c r="B11" s="34"/>
      <c r="C11" s="35"/>
      <c r="D11" s="36"/>
      <c r="E11" s="37"/>
      <c r="F11" s="23"/>
      <c r="G11" s="40"/>
      <c r="M11" t="s">
        <v>17</v>
      </c>
      <c r="N11">
        <v>4</v>
      </c>
      <c r="O11">
        <v>15</v>
      </c>
    </row>
    <row r="12" spans="1:15" x14ac:dyDescent="0.25">
      <c r="A12" s="62" t="str">
        <f>IF(ISBLANK(B12),"",_xlfn.ISOWEEKNUM('Journal de travail'!$B12))</f>
        <v/>
      </c>
      <c r="B12" s="30"/>
      <c r="C12" s="31"/>
      <c r="D12" s="32"/>
      <c r="E12" s="33"/>
      <c r="F12" s="23"/>
      <c r="G12" s="39"/>
      <c r="M12" t="s">
        <v>18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60</v>
      </c>
      <c r="C7">
        <f t="shared" si="0"/>
        <v>120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2 h 00 min</v>
      </c>
      <c r="G7" s="75">
        <f t="shared" ref="G7:G9" si="2">SUM(A7:B7)/$C$11</f>
        <v>1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60</v>
      </c>
      <c r="C11">
        <f>SUM(A11:B11)</f>
        <v>120</v>
      </c>
      <c r="E11" s="81" t="s">
        <v>29</v>
      </c>
      <c r="F11" s="71" t="str">
        <f t="shared" si="1"/>
        <v>2 h 00 min</v>
      </c>
      <c r="G11" s="82">
        <f>C11/C12</f>
        <v>2.2222222222222223E-2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Props1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2026-03-27T09:58:08Z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